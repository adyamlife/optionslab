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Watchlist" sheetId="1" state="visible" r:id="rId1"/>
    <sheet xmlns:r="http://schemas.openxmlformats.org/officeDocument/2006/relationships" name="1. Universal Rules" sheetId="2" state="visible" r:id="rId2"/>
    <sheet xmlns:r="http://schemas.openxmlformats.org/officeDocument/2006/relationships" name="2. Situation Assessment" sheetId="3" state="visible" r:id="rId3"/>
    <sheet xmlns:r="http://schemas.openxmlformats.org/officeDocument/2006/relationships" name="3. Structure Matrix" sheetId="4" state="visible" r:id="rId4"/>
    <sheet xmlns:r="http://schemas.openxmlformats.org/officeDocument/2006/relationships" name="4. Entry Criteria" sheetId="5" state="visible" r:id="rId5"/>
    <sheet xmlns:r="http://schemas.openxmlformats.org/officeDocument/2006/relationships" name="5. Exit-Adjustment Rules" sheetId="6" state="visible" r:id="rId6"/>
    <sheet xmlns:r="http://schemas.openxmlformats.org/officeDocument/2006/relationships" name="6. Pre-Trade Checklist" sheetId="7" state="visible" r:id="rId7"/>
    <sheet xmlns:r="http://schemas.openxmlformats.org/officeDocument/2006/relationships" name="7. Trade Journal" sheetId="8" state="visible" r:id="rId8"/>
    <sheet xmlns:r="http://schemas.openxmlformats.org/officeDocument/2006/relationships" name="8. Open Ite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</font>
    <font>
      <name val="Arial"/>
    </font>
    <font>
      <name val="Arial"/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6" customWidth="1" min="4" max="4"/>
    <col width="18" customWidth="1" min="5" max="5"/>
    <col width="35" customWidth="1" min="6" max="6"/>
    <col width="16" customWidth="1" min="7" max="7"/>
    <col width="12" customWidth="1" min="8" max="8"/>
  </cols>
  <sheetData>
    <row r="1">
      <c r="A1" s="1" t="inlineStr">
        <is>
          <t>WATCHLIST (handful of underlyings only - not the full market)</t>
        </is>
      </c>
    </row>
    <row r="2">
      <c r="A2" s="4" t="inlineStr">
        <is>
          <t>Keep this list short. Add/remove based on quarterly review (liquidity, IV behavior, your familiarity with the name).</t>
        </is>
      </c>
    </row>
    <row r="4">
      <c r="A4" s="2" t="inlineStr">
        <is>
          <t>Underlying</t>
        </is>
      </c>
      <c r="B4" s="2" t="inlineStr">
        <is>
          <t>Asset Type</t>
        </is>
      </c>
      <c r="C4" s="2" t="inlineStr">
        <is>
          <t>Typical IV Rank Range</t>
        </is>
      </c>
      <c r="D4" s="2" t="inlineStr">
        <is>
          <t>Liquidity OK? (Y/N)</t>
        </is>
      </c>
      <c r="E4" s="2" t="inlineStr">
        <is>
          <t>Avg Bid-Ask Spread %</t>
        </is>
      </c>
      <c r="F4" s="2" t="inlineStr">
        <is>
          <t>Sector/Notes</t>
        </is>
      </c>
      <c r="G4" s="2" t="inlineStr">
        <is>
          <t>Earnings Date (next)</t>
        </is>
      </c>
      <c r="H4" s="2" t="inlineStr">
        <is>
          <t>Active? (Y/N)</t>
        </is>
      </c>
    </row>
    <row r="5">
      <c r="A5" s="3" t="inlineStr">
        <is>
          <t>SPY</t>
        </is>
      </c>
      <c r="B5" s="3" t="inlineStr">
        <is>
          <t>ETF (Index)</t>
        </is>
      </c>
      <c r="C5" s="3" t="inlineStr">
        <is>
          <t>N/A (ETF)</t>
        </is>
      </c>
      <c r="D5" s="3" t="inlineStr">
        <is>
          <t>Y</t>
        </is>
      </c>
      <c r="E5" s="3" t="inlineStr">
        <is>
          <t>Very tight (~$0.01-0.02)</t>
        </is>
      </c>
      <c r="F5" s="3" t="inlineStr">
        <is>
          <t>S&amp;P 500 index ETF - benchmark liquidity, use as the baseline</t>
        </is>
      </c>
      <c r="G5" s="3" t="inlineStr">
        <is>
          <t>N/A (ETF, no earnings)</t>
        </is>
      </c>
      <c r="H5" s="3" t="inlineStr">
        <is>
          <t>Y</t>
        </is>
      </c>
    </row>
    <row r="6">
      <c r="A6" s="3" t="inlineStr">
        <is>
          <t>TQQQ</t>
        </is>
      </c>
      <c r="B6" s="3" t="inlineStr">
        <is>
          <t>ETF (3x Leveraged)</t>
        </is>
      </c>
      <c r="C6" s="3" t="inlineStr">
        <is>
          <t>N/A (ETF)</t>
        </is>
      </c>
      <c r="D6" s="3" t="inlineStr">
        <is>
          <t>Y</t>
        </is>
      </c>
      <c r="E6" s="3" t="inlineStr">
        <is>
          <t>Tight, slightly wider than QQQ/SPY</t>
        </is>
      </c>
      <c r="F6" s="3" t="inlineStr">
        <is>
          <t>3x leveraged Nasdaq ETF - high IV due to leverage/decay; verify spread width fits $120 max-loss rule before using</t>
        </is>
      </c>
      <c r="G6" s="3" t="inlineStr">
        <is>
          <t>N/A (ETF, no earnings)</t>
        </is>
      </c>
      <c r="H6" s="3" t="inlineStr">
        <is>
          <t>Y</t>
        </is>
      </c>
    </row>
    <row r="7">
      <c r="A7" s="3" t="inlineStr">
        <is>
          <t>QQQ</t>
        </is>
      </c>
      <c r="B7" s="3" t="inlineStr">
        <is>
          <t>ETF (Index)</t>
        </is>
      </c>
      <c r="C7" s="3" t="inlineStr">
        <is>
          <t>N/A (ETF)</t>
        </is>
      </c>
      <c r="D7" s="3" t="inlineStr">
        <is>
          <t>Y</t>
        </is>
      </c>
      <c r="E7" s="3" t="inlineStr">
        <is>
          <t>Very tight (~$0.01-0.02)</t>
        </is>
      </c>
      <c r="F7" s="3" t="inlineStr">
        <is>
          <t>Nasdaq-100 index ETF - high liquidity, good for credit spreads</t>
        </is>
      </c>
      <c r="G7" s="3" t="inlineStr">
        <is>
          <t>N/A (ETF, no earnings)</t>
        </is>
      </c>
      <c r="H7" s="3" t="inlineStr">
        <is>
          <t>Y</t>
        </is>
      </c>
    </row>
    <row r="8">
      <c r="A8" s="3" t="inlineStr">
        <is>
          <t>AAPL</t>
        </is>
      </c>
      <c r="B8" s="3" t="inlineStr">
        <is>
          <t>Stock</t>
        </is>
      </c>
      <c r="C8" s="3" t="inlineStr">
        <is>
          <t>Check broker daily - changes with market conditions</t>
        </is>
      </c>
      <c r="D8" s="3" t="inlineStr">
        <is>
          <t>Y</t>
        </is>
      </c>
      <c r="E8" s="3" t="inlineStr">
        <is>
          <t>Tight (mega-cap, very liquid chain)</t>
        </is>
      </c>
      <c r="F8" s="3" t="inlineStr">
        <is>
          <t>Mega-cap tech - reliable liquidity but premiums often lower (low IV) outside earnings</t>
        </is>
      </c>
      <c r="G8" s="3" t="inlineStr">
        <is>
          <t>Jul 30, 2026 (confirmed, after close)</t>
        </is>
      </c>
      <c r="H8" s="3" t="inlineStr">
        <is>
          <t>Y</t>
        </is>
      </c>
    </row>
    <row r="9">
      <c r="A9" s="3" t="inlineStr">
        <is>
          <t>SPOT</t>
        </is>
      </c>
      <c r="B9" s="3" t="inlineStr">
        <is>
          <t>Stock</t>
        </is>
      </c>
      <c r="C9" s="3" t="inlineStr">
        <is>
          <t>Check broker daily - changes with market conditions</t>
        </is>
      </c>
      <c r="D9" s="3" t="inlineStr">
        <is>
          <t>Y (verify)</t>
        </is>
      </c>
      <c r="E9" s="3" t="inlineStr">
        <is>
          <t>Moderate - wider than mega-caps, check before entry</t>
        </is>
      </c>
      <c r="F9" s="3" t="inlineStr">
        <is>
          <t>Mid-cap, more volatile than AAPL - good IV but confirm OI/spread on chosen strikes</t>
        </is>
      </c>
      <c r="G9" s="3" t="inlineStr">
        <is>
          <t>Jul 29, 2026 (estimate, before open - confirm closer to date)</t>
        </is>
      </c>
      <c r="H9" s="3" t="inlineStr">
        <is>
          <t>Y</t>
        </is>
      </c>
    </row>
    <row r="10">
      <c r="A10" s="3" t="inlineStr">
        <is>
          <t>ULTA</t>
        </is>
      </c>
      <c r="B10" s="3" t="inlineStr">
        <is>
          <t>Stock</t>
        </is>
      </c>
      <c r="C10" s="3" t="inlineStr">
        <is>
          <t>Check broker daily - changes with market conditions</t>
        </is>
      </c>
      <c r="D10" s="3" t="inlineStr">
        <is>
          <t>Y (verify)</t>
        </is>
      </c>
      <c r="E10" s="3" t="inlineStr">
        <is>
          <t>Moderate - check before entry</t>
        </is>
      </c>
      <c r="F10" s="3" t="inlineStr">
        <is>
          <t>Mid-cap retail - earnings-sensitive, confirm liquidity on monthly vs weekly expiries</t>
        </is>
      </c>
      <c r="G10" s="3" t="inlineStr">
        <is>
          <t>Aug 27, 2026 (estimate)</t>
        </is>
      </c>
      <c r="H10" s="3" t="inlineStr">
        <is>
          <t>Y</t>
        </is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45" customWidth="1" min="3" max="3"/>
  </cols>
  <sheetData>
    <row r="1">
      <c r="A1" s="1" t="inlineStr">
        <is>
          <t>UNIVERSAL RULES (apply to every trade, regardless of structure)</t>
        </is>
      </c>
    </row>
    <row r="3">
      <c r="A3" s="2" t="inlineStr">
        <is>
          <t>Rule</t>
        </is>
      </c>
      <c r="B3" s="2" t="inlineStr">
        <is>
          <t>Definition</t>
        </is>
      </c>
      <c r="C3" s="2" t="inlineStr">
        <is>
          <t>Why</t>
        </is>
      </c>
    </row>
    <row r="4">
      <c r="A4" s="3" t="inlineStr">
        <is>
          <t>Max risk per trade</t>
        </is>
      </c>
      <c r="B4" s="3" t="inlineStr">
        <is>
          <t>Max loss &lt;= 12% of capital (~$120 on $1000 account), known BEFORE entry</t>
        </is>
      </c>
      <c r="C4" s="3" t="inlineStr">
        <is>
          <t>Limits damage from any single wrong trade</t>
        </is>
      </c>
    </row>
    <row r="5">
      <c r="A5" s="3" t="inlineStr">
        <is>
          <t>Max concurrent positions</t>
        </is>
      </c>
      <c r="B5" s="3" t="inlineStr">
        <is>
          <t>2 open positions max (given $1000 capital)</t>
        </is>
      </c>
      <c r="C5" s="3" t="inlineStr">
        <is>
          <t>Avoids over-extension / correlated blowups</t>
        </is>
      </c>
    </row>
    <row r="6">
      <c r="A6" s="3" t="inlineStr">
        <is>
          <t>Event blackout</t>
        </is>
      </c>
      <c r="B6" s="3" t="inlineStr">
        <is>
          <t>No new entry if earnings or major macro event (Fed/CPI/jobs) falls within the planned holding period</t>
        </is>
      </c>
      <c r="C6" s="3" t="inlineStr">
        <is>
          <t>Avoids predictable, avoidable losses</t>
        </is>
      </c>
    </row>
    <row r="7">
      <c r="A7" s="3" t="inlineStr">
        <is>
          <t>Liquidity gate</t>
        </is>
      </c>
      <c r="B7" s="3" t="inlineStr">
        <is>
          <t>Only trade strikes where bid-ask spread &lt;= 5-10% of mid price and OI is meaningful</t>
        </is>
      </c>
      <c r="C7" s="3" t="inlineStr">
        <is>
          <t>Avoids slippage eating the edge</t>
        </is>
      </c>
    </row>
    <row r="8">
      <c r="A8" s="3" t="inlineStr">
        <is>
          <t>Holding period</t>
        </is>
      </c>
      <c r="B8" s="3" t="inlineStr">
        <is>
          <t>Target 5-10 DTE at entry. Avoid &lt;3 DTE (gamma risk) and &gt;21 DTE (capital tied up too long)</t>
        </is>
      </c>
      <c r="C8" s="3" t="inlineStr">
        <is>
          <t>Balances theta decay vs gamma/gap risk</t>
        </is>
      </c>
    </row>
    <row r="9">
      <c r="A9" s="3" t="inlineStr">
        <is>
          <t>No-trade is valid</t>
        </is>
      </c>
      <c r="B9" s="3" t="inlineStr">
        <is>
          <t>If situation doesn't clearly match a structure in the matrix, skip the week for that underlying</t>
        </is>
      </c>
      <c r="C9" s="3" t="inlineStr">
        <is>
          <t>Forcing trades is a leading cause of losses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35" customWidth="1" min="3" max="3"/>
  </cols>
  <sheetData>
    <row r="1">
      <c r="A1" s="1" t="inlineStr">
        <is>
          <t>SITUATION ASSESSMENT (do this first, every time)</t>
        </is>
      </c>
    </row>
    <row r="3">
      <c r="A3" s="4" t="inlineStr">
        <is>
          <t>If 'Blocked' on Event proximity -&gt; no trade this underlying this week, regardless of IV/trend.</t>
        </is>
      </c>
    </row>
    <row r="4">
      <c r="A4" s="2" t="inlineStr">
        <is>
          <t>Axis</t>
        </is>
      </c>
      <c r="B4" s="2" t="inlineStr">
        <is>
          <t>How to check</t>
        </is>
      </c>
      <c r="C4" s="2" t="inlineStr">
        <is>
          <t>Categories</t>
        </is>
      </c>
    </row>
    <row r="5">
      <c r="A5" s="3" t="inlineStr">
        <is>
          <t>IV environment</t>
        </is>
      </c>
      <c r="B5" s="3" t="inlineStr">
        <is>
          <t>IV rank / percentile of underlying vs its own 1-yr range</t>
        </is>
      </c>
      <c r="C5" s="3" t="inlineStr">
        <is>
          <t>High (&gt;50th pct) / Low (&lt;50th pct)</t>
        </is>
      </c>
    </row>
    <row r="6">
      <c r="A6" s="3" t="inlineStr">
        <is>
          <t>Trend</t>
        </is>
      </c>
      <c r="B6" s="3" t="inlineStr">
        <is>
          <t>Price vs 20-day and 50-day moving average, direction of both</t>
        </is>
      </c>
      <c r="C6" s="3" t="inlineStr">
        <is>
          <t>Uptrend / Downtrend / Range-bound</t>
        </is>
      </c>
    </row>
    <row r="7">
      <c r="A7" s="3" t="inlineStr">
        <is>
          <t>Event proximity</t>
        </is>
      </c>
      <c r="B7" s="3" t="inlineStr">
        <is>
          <t>Earnings / macro calendar within the planned holding period</t>
        </is>
      </c>
      <c r="C7" s="3" t="inlineStr">
        <is>
          <t>Clear / Blocked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0" customWidth="1" min="3" max="3"/>
    <col width="50" customWidth="1" min="4" max="4"/>
  </cols>
  <sheetData>
    <row r="1">
      <c r="A1" s="1" t="inlineStr">
        <is>
          <t>STRUCTURE SELECTION MATRIX</t>
        </is>
      </c>
    </row>
    <row r="3">
      <c r="A3" s="2" t="inlineStr">
        <is>
          <t>IV Environment</t>
        </is>
      </c>
      <c r="B3" s="2" t="inlineStr">
        <is>
          <t>Trend</t>
        </is>
      </c>
      <c r="C3" s="2" t="inlineStr">
        <is>
          <t>Structure</t>
        </is>
      </c>
      <c r="D3" s="2" t="inlineStr">
        <is>
          <t>Rationale</t>
        </is>
      </c>
    </row>
    <row r="4">
      <c r="A4" s="3" t="inlineStr">
        <is>
          <t>High</t>
        </is>
      </c>
      <c r="B4" s="3" t="inlineStr">
        <is>
          <t>Range-bound</t>
        </is>
      </c>
      <c r="C4" s="3" t="inlineStr">
        <is>
          <t>Iron Condor (sell both sides, defined risk)</t>
        </is>
      </c>
      <c r="D4" s="3" t="inlineStr">
        <is>
          <t>Premium is rich, no directional edge needed</t>
        </is>
      </c>
    </row>
    <row r="5">
      <c r="A5" s="3" t="inlineStr">
        <is>
          <t>High</t>
        </is>
      </c>
      <c r="B5" s="3" t="inlineStr">
        <is>
          <t>Uptrend</t>
        </is>
      </c>
      <c r="C5" s="3" t="inlineStr">
        <is>
          <t>Put credit spread (sell put side only)</t>
        </is>
      </c>
      <c r="D5" s="3" t="inlineStr">
        <is>
          <t>Sell rich premium with the trend for extra cushion</t>
        </is>
      </c>
    </row>
    <row r="6">
      <c r="A6" s="3" t="inlineStr">
        <is>
          <t>High</t>
        </is>
      </c>
      <c r="B6" s="3" t="inlineStr">
        <is>
          <t>Downtrend</t>
        </is>
      </c>
      <c r="C6" s="3" t="inlineStr">
        <is>
          <t>Call credit spread (sell call side only)</t>
        </is>
      </c>
      <c r="D6" s="3" t="inlineStr">
        <is>
          <t>Same logic, opposite direction</t>
        </is>
      </c>
    </row>
    <row r="7">
      <c r="A7" s="3" t="inlineStr">
        <is>
          <t>Low</t>
        </is>
      </c>
      <c r="B7" s="3" t="inlineStr">
        <is>
          <t>Uptrend</t>
        </is>
      </c>
      <c r="C7" s="3" t="inlineStr">
        <is>
          <t>Call debit spread (buy near-the-money call, sell further OTM call)</t>
        </is>
      </c>
      <c r="D7" s="3" t="inlineStr">
        <is>
          <t>Premium is cheap - buy it instead of selling it</t>
        </is>
      </c>
    </row>
    <row r="8">
      <c r="A8" s="3" t="inlineStr">
        <is>
          <t>Low</t>
        </is>
      </c>
      <c r="B8" s="3" t="inlineStr">
        <is>
          <t>Downtrend</t>
        </is>
      </c>
      <c r="C8" s="3" t="inlineStr">
        <is>
          <t>Put debit spread (buy near-the-money put, sell further OTM put)</t>
        </is>
      </c>
      <c r="D8" s="3" t="inlineStr">
        <is>
          <t>Premium is cheap - buy it instead of selling it</t>
        </is>
      </c>
    </row>
    <row r="9">
      <c r="A9" s="3" t="inlineStr">
        <is>
          <t>Low</t>
        </is>
      </c>
      <c r="B9" s="3" t="inlineStr">
        <is>
          <t>Range-bound</t>
        </is>
      </c>
      <c r="C9" s="3" t="inlineStr">
        <is>
          <t>NO TRADE (or calendar/diagonal - advanced, deferred)</t>
        </is>
      </c>
      <c r="D9" s="3" t="inlineStr">
        <is>
          <t>Cheap premium + no movement = poor risk/reward either 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65" customWidth="1" min="3" max="3"/>
  </cols>
  <sheetData>
    <row r="1">
      <c r="A1" s="1" t="inlineStr">
        <is>
          <t>ENTRY CRITERIA (per structure)</t>
        </is>
      </c>
    </row>
    <row r="3">
      <c r="A3" s="2" t="inlineStr">
        <is>
          <t>Structure</t>
        </is>
      </c>
      <c r="B3" s="2" t="inlineStr">
        <is>
          <t>Criterion</t>
        </is>
      </c>
      <c r="C3" s="2" t="inlineStr">
        <is>
          <t>Rule</t>
        </is>
      </c>
    </row>
    <row r="4">
      <c r="A4" s="3" t="inlineStr">
        <is>
          <t>Credit spread / Iron Condor</t>
        </is>
      </c>
      <c r="B4" s="3" t="inlineStr">
        <is>
          <t>Short strike delta</t>
        </is>
      </c>
      <c r="C4" s="3" t="inlineStr">
        <is>
          <t>0.15 - 0.25 (far enough OTM for cushion, not negligible premium)</t>
        </is>
      </c>
    </row>
    <row r="5">
      <c r="A5" s="3" t="inlineStr">
        <is>
          <t>Credit spread / Iron Condor</t>
        </is>
      </c>
      <c r="B5" s="3" t="inlineStr">
        <is>
          <t>Spread width</t>
        </is>
      </c>
      <c r="C5" s="3" t="inlineStr">
        <is>
          <t>Sized so max loss = position-size limit (~$120)</t>
        </is>
      </c>
    </row>
    <row r="6">
      <c r="A6" s="3" t="inlineStr">
        <is>
          <t>Credit spread / Iron Condor</t>
        </is>
      </c>
      <c r="B6" s="3" t="inlineStr">
        <is>
          <t>Credit received</t>
        </is>
      </c>
      <c r="C6" s="3" t="inlineStr">
        <is>
          <t>&gt;= ~25-33% of spread width; if less, skip the trade</t>
        </is>
      </c>
    </row>
    <row r="7">
      <c r="A7" s="3" t="inlineStr">
        <is>
          <t>Debit spread</t>
        </is>
      </c>
      <c r="B7" s="3" t="inlineStr">
        <is>
          <t>Long strike delta</t>
        </is>
      </c>
      <c r="C7" s="3" t="inlineStr">
        <is>
          <t>0.40 - 0.55 (near-the-money for directional conviction)</t>
        </is>
      </c>
    </row>
    <row r="8">
      <c r="A8" s="3" t="inlineStr">
        <is>
          <t>Debit spread</t>
        </is>
      </c>
      <c r="B8" s="3" t="inlineStr">
        <is>
          <t>Short (hedge) strike delta</t>
        </is>
      </c>
      <c r="C8" s="3" t="inlineStr">
        <is>
          <t>0.15 - 0.20 (far enough out to meaningfully reduce cost)</t>
        </is>
      </c>
    </row>
    <row r="9">
      <c r="A9" s="3" t="inlineStr">
        <is>
          <t>Debit spread</t>
        </is>
      </c>
      <c r="B9" s="3" t="inlineStr">
        <is>
          <t>Max loss</t>
        </is>
      </c>
      <c r="C9" s="3">
        <f> premium paid = position-size limit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70" customWidth="1" min="3" max="3"/>
  </cols>
  <sheetData>
    <row r="1">
      <c r="A1" s="1" t="inlineStr">
        <is>
          <t>EXIT / ADJUSTMENT RULES (per structure)</t>
        </is>
      </c>
    </row>
    <row r="3">
      <c r="A3" s="2" t="inlineStr">
        <is>
          <t>Structure</t>
        </is>
      </c>
      <c r="B3" s="2" t="inlineStr">
        <is>
          <t>Trigger</t>
        </is>
      </c>
      <c r="C3" s="2" t="inlineStr">
        <is>
          <t>Action</t>
        </is>
      </c>
    </row>
    <row r="4">
      <c r="A4" s="3" t="inlineStr">
        <is>
          <t>Credit spread / Iron Condor</t>
        </is>
      </c>
      <c r="B4" s="3" t="inlineStr">
        <is>
          <t>Profit target</t>
        </is>
      </c>
      <c r="C4" s="3" t="inlineStr">
        <is>
          <t>Close at 50-65% of max profit (credit received)</t>
        </is>
      </c>
    </row>
    <row r="5">
      <c r="A5" s="3" t="inlineStr">
        <is>
          <t>Credit spread / Iron Condor</t>
        </is>
      </c>
      <c r="B5" s="3" t="inlineStr">
        <is>
          <t>Defend trigger</t>
        </is>
      </c>
      <c r="C5" s="3" t="inlineStr">
        <is>
          <t>Loss reaches ~1.5x credit received OR short strike delta exceeds ~0.40 -&gt; roll out/down for credit, or convert to condor/butterfly</t>
        </is>
      </c>
    </row>
    <row r="6">
      <c r="A6" s="3" t="inlineStr">
        <is>
          <t>Credit spread / Iron Condor</t>
        </is>
      </c>
      <c r="B6" s="3" t="inlineStr">
        <is>
          <t>Time-based exit</t>
        </is>
      </c>
      <c r="C6" s="3" t="inlineStr">
        <is>
          <t>Close or roll by 2-3 DTE regardless of P&amp;L</t>
        </is>
      </c>
    </row>
    <row r="7">
      <c r="A7" s="3" t="inlineStr">
        <is>
          <t>Debit spread</t>
        </is>
      </c>
      <c r="B7" s="3" t="inlineStr">
        <is>
          <t>Profit target</t>
        </is>
      </c>
      <c r="C7" s="3" t="inlineStr">
        <is>
          <t>Close at 50-75% of max profit (spread width minus cost)</t>
        </is>
      </c>
    </row>
    <row r="8">
      <c r="A8" s="3" t="inlineStr">
        <is>
          <t>Debit spread</t>
        </is>
      </c>
      <c r="B8" s="3" t="inlineStr">
        <is>
          <t>Loss trigger</t>
        </is>
      </c>
      <c r="C8" s="3" t="inlineStr">
        <is>
          <t>Close if position value drops to ~50% of cost paid</t>
        </is>
      </c>
    </row>
    <row r="9">
      <c r="A9" s="3" t="inlineStr">
        <is>
          <t>Debit spread</t>
        </is>
      </c>
      <c r="B9" s="3" t="inlineStr">
        <is>
          <t>Time-based exit</t>
        </is>
      </c>
      <c r="C9" s="3" t="inlineStr">
        <is>
          <t>If underlying hasn't moved as expected by ~50% of time to expiry, consider closing (theta works against you)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65" customWidth="1" min="3" max="3"/>
    <col width="14" customWidth="1" min="4" max="4"/>
  </cols>
  <sheetData>
    <row r="1">
      <c r="A1" s="1" t="inlineStr">
        <is>
          <t>PRE-TRADE CHECKLIST (run in order, every time)</t>
        </is>
      </c>
    </row>
    <row r="3">
      <c r="A3" s="2" t="inlineStr">
        <is>
          <t>#</t>
        </is>
      </c>
      <c r="B3" s="2" t="inlineStr">
        <is>
          <t>Step</t>
        </is>
      </c>
      <c r="C3" s="2" t="inlineStr">
        <is>
          <t>Detail</t>
        </is>
      </c>
      <c r="D3" s="2" t="inlineStr">
        <is>
          <t>Done? (Y/N)</t>
        </is>
      </c>
    </row>
    <row r="4">
      <c r="A4" s="3" t="n">
        <v>1</v>
      </c>
      <c r="B4" s="3" t="inlineStr">
        <is>
          <t>Calendar check</t>
        </is>
      </c>
      <c r="C4" s="3" t="inlineStr">
        <is>
          <t>Any blocking events (earnings/macro) in holding window?</t>
        </is>
      </c>
      <c r="D4" s="3" t="inlineStr"/>
    </row>
    <row r="5">
      <c r="A5" s="3" t="n">
        <v>2</v>
      </c>
      <c r="B5" s="3" t="inlineStr">
        <is>
          <t>IV rank check</t>
        </is>
      </c>
      <c r="C5" s="3" t="inlineStr">
        <is>
          <t>Classify High / Low</t>
        </is>
      </c>
      <c r="D5" s="3" t="inlineStr"/>
    </row>
    <row r="6">
      <c r="A6" s="3" t="n">
        <v>3</v>
      </c>
      <c r="B6" s="3" t="inlineStr">
        <is>
          <t>Trend check</t>
        </is>
      </c>
      <c r="C6" s="3" t="inlineStr">
        <is>
          <t>Classify Up / Down / Range-bound</t>
        </is>
      </c>
      <c r="D6" s="3" t="inlineStr"/>
    </row>
    <row r="7">
      <c r="A7" s="3" t="n">
        <v>4</v>
      </c>
      <c r="B7" s="3" t="inlineStr">
        <is>
          <t>Structure lookup</t>
        </is>
      </c>
      <c r="C7" s="3" t="inlineStr">
        <is>
          <t>Match IV + Trend to Structure Matrix (sheet 3)</t>
        </is>
      </c>
      <c r="D7" s="3" t="inlineStr"/>
    </row>
    <row r="8">
      <c r="A8" s="3" t="n">
        <v>5</v>
      </c>
      <c r="B8" s="3" t="inlineStr">
        <is>
          <t>Liquidity check</t>
        </is>
      </c>
      <c r="C8" s="3" t="inlineStr">
        <is>
          <t>Bid-ask spread and OI acceptable on relevant strikes?</t>
        </is>
      </c>
      <c r="D8" s="3" t="inlineStr"/>
    </row>
    <row r="9">
      <c r="A9" s="3" t="n">
        <v>6</v>
      </c>
      <c r="B9" s="3" t="inlineStr">
        <is>
          <t>Position sizing</t>
        </is>
      </c>
      <c r="C9" s="3" t="inlineStr">
        <is>
          <t>Calculate size so max loss &lt;= $120</t>
        </is>
      </c>
      <c r="D9" s="3" t="inlineStr"/>
    </row>
    <row r="10">
      <c r="A10" s="3" t="n">
        <v>7</v>
      </c>
      <c r="B10" s="3" t="inlineStr">
        <is>
          <t>Enter trade</t>
        </is>
      </c>
      <c r="C10" s="3" t="inlineStr">
        <is>
          <t>Place order per Entry Criteria (sheet 4)</t>
        </is>
      </c>
      <c r="D10" s="3" t="inlineStr"/>
    </row>
    <row r="11">
      <c r="A11" s="3" t="n">
        <v>8</v>
      </c>
      <c r="B11" s="3" t="inlineStr">
        <is>
          <t>Set alerts</t>
        </is>
      </c>
      <c r="C11" s="3" t="inlineStr">
        <is>
          <t>Set delta / P&amp;L adjustment triggers per sheet 5</t>
        </is>
      </c>
      <c r="D11" s="3" t="inlineStr"/>
    </row>
    <row r="12">
      <c r="A12" s="3" t="n">
        <v>9</v>
      </c>
      <c r="B12" s="3" t="inlineStr">
        <is>
          <t>Log trade</t>
        </is>
      </c>
      <c r="C12" s="3" t="inlineStr">
        <is>
          <t>Record in Trade Journal (sheet 7)</t>
        </is>
      </c>
      <c r="D1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22" customWidth="1" min="5" max="5"/>
    <col width="16" customWidth="1" min="6" max="6"/>
    <col width="10" customWidth="1" min="7" max="7"/>
    <col width="14" customWidth="1" min="8" max="8"/>
    <col width="12" customWidth="1" min="9" max="9"/>
    <col width="16" customWidth="1" min="10" max="10"/>
    <col width="12" customWidth="1" min="11" max="11"/>
    <col width="10" customWidth="1" min="12" max="12"/>
    <col width="14" customWidth="1" min="13" max="13"/>
    <col width="14" customWidth="1" min="14" max="14"/>
    <col width="35" customWidth="1" min="15" max="15"/>
  </cols>
  <sheetData>
    <row r="1">
      <c r="A1" s="1" t="inlineStr">
        <is>
          <t>TRADE JOURNAL</t>
        </is>
      </c>
    </row>
    <row r="2">
      <c r="A2" s="4" t="inlineStr">
        <is>
          <t>Log every trade here. P&amp;L and % Return are calculated automatically.</t>
        </is>
      </c>
    </row>
    <row r="4">
      <c r="A4" s="2" t="inlineStr">
        <is>
          <t>Date Entered</t>
        </is>
      </c>
      <c r="B4" s="2" t="inlineStr">
        <is>
          <t>Underlying</t>
        </is>
      </c>
      <c r="C4" s="2" t="inlineStr">
        <is>
          <t>IV Env</t>
        </is>
      </c>
      <c r="D4" s="2" t="inlineStr">
        <is>
          <t>Trend</t>
        </is>
      </c>
      <c r="E4" s="2" t="inlineStr">
        <is>
          <t>Structure</t>
        </is>
      </c>
      <c r="F4" s="2" t="inlineStr">
        <is>
          <t>Strikes</t>
        </is>
      </c>
      <c r="G4" s="2" t="inlineStr">
        <is>
          <t>Expiry</t>
        </is>
      </c>
      <c r="H4" s="2" t="inlineStr">
        <is>
          <t>Credit/Debit ($)</t>
        </is>
      </c>
      <c r="I4" s="2" t="inlineStr">
        <is>
          <t>Max Loss ($)</t>
        </is>
      </c>
      <c r="J4" s="2" t="inlineStr">
        <is>
          <t>Date Closed/Adjusted</t>
        </is>
      </c>
      <c r="K4" s="2" t="inlineStr">
        <is>
          <t>Exit Value ($)</t>
        </is>
      </c>
      <c r="L4" s="2" t="inlineStr">
        <is>
          <t>P&amp;L ($)</t>
        </is>
      </c>
      <c r="M4" s="2" t="inlineStr">
        <is>
          <t>% Return on Risk</t>
        </is>
      </c>
      <c r="N4" s="2" t="inlineStr">
        <is>
          <t>Adjustment Made?</t>
        </is>
      </c>
      <c r="O4" s="2" t="inlineStr">
        <is>
          <t>Notes / Lessons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6">
        <f>IF(J5="","",K5-H5)</f>
        <v/>
      </c>
      <c r="M5" s="7">
        <f>IF(OR(J5="",I5=0,I5=""),"",L5/I5)</f>
        <v/>
      </c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6">
        <f>IF(J6="","",K6-H6)</f>
        <v/>
      </c>
      <c r="M6" s="7">
        <f>IF(OR(J6="",I6=0,I6=""),"",L6/I6)</f>
        <v/>
      </c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6">
        <f>IF(J7="","",K7-H7)</f>
        <v/>
      </c>
      <c r="M7" s="7">
        <f>IF(OR(J7="",I7=0,I7=""),"",L7/I7)</f>
        <v/>
      </c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6">
        <f>IF(J8="","",K8-H8)</f>
        <v/>
      </c>
      <c r="M8" s="7">
        <f>IF(OR(J8="",I8=0,I8=""),"",L8/I8)</f>
        <v/>
      </c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6">
        <f>IF(J9="","",K9-H9)</f>
        <v/>
      </c>
      <c r="M9" s="7">
        <f>IF(OR(J9="",I9=0,I9=""),"",L9/I9)</f>
        <v/>
      </c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6">
        <f>IF(J10="","",K10-H10)</f>
        <v/>
      </c>
      <c r="M10" s="7">
        <f>IF(OR(J10="",I10=0,I10=""),"",L10/I10)</f>
        <v/>
      </c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6">
        <f>IF(J11="","",K11-H11)</f>
        <v/>
      </c>
      <c r="M11" s="7">
        <f>IF(OR(J11="",I11=0,I11=""),"",L11/I11)</f>
        <v/>
      </c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6">
        <f>IF(J12="","",K12-H12)</f>
        <v/>
      </c>
      <c r="M12" s="7">
        <f>IF(OR(J12="",I12=0,I12=""),"",L12/I12)</f>
        <v/>
      </c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6">
        <f>IF(J13="","",K13-H13)</f>
        <v/>
      </c>
      <c r="M13" s="7">
        <f>IF(OR(J13="",I13=0,I13=""),"",L13/I13)</f>
        <v/>
      </c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6">
        <f>IF(J14="","",K14-H14)</f>
        <v/>
      </c>
      <c r="M14" s="7">
        <f>IF(OR(J14="",I14=0,I14=""),"",L14/I14)</f>
        <v/>
      </c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6">
        <f>IF(J15="","",K15-H15)</f>
        <v/>
      </c>
      <c r="M15" s="7">
        <f>IF(OR(J15="",I15=0,I15=""),"",L15/I15)</f>
        <v/>
      </c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6">
        <f>IF(J16="","",K16-H16)</f>
        <v/>
      </c>
      <c r="M16" s="7">
        <f>IF(OR(J16="",I16=0,I16=""),"",L16/I16)</f>
        <v/>
      </c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6">
        <f>IF(J17="","",K17-H17)</f>
        <v/>
      </c>
      <c r="M17" s="7">
        <f>IF(OR(J17="",I17=0,I17=""),"",L17/I17)</f>
        <v/>
      </c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6">
        <f>IF(J18="","",K18-H18)</f>
        <v/>
      </c>
      <c r="M18" s="7">
        <f>IF(OR(J18="",I18=0,I18=""),"",L18/I18)</f>
        <v/>
      </c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6">
        <f>IF(J19="","",K19-H19)</f>
        <v/>
      </c>
      <c r="M19" s="7">
        <f>IF(OR(J19="",I19=0,I19=""),"",L19/I19)</f>
        <v/>
      </c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6">
        <f>IF(J20="","",K20-H20)</f>
        <v/>
      </c>
      <c r="M20" s="7">
        <f>IF(OR(J20="",I20=0,I20=""),"",L20/I20)</f>
        <v/>
      </c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6">
        <f>IF(J21="","",K21-H21)</f>
        <v/>
      </c>
      <c r="M21" s="7">
        <f>IF(OR(J21="",I21=0,I21=""),"",L21/I21)</f>
        <v/>
      </c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6">
        <f>IF(J22="","",K22-H22)</f>
        <v/>
      </c>
      <c r="M22" s="7">
        <f>IF(OR(J22="",I22=0,I22=""),"",L22/I22)</f>
        <v/>
      </c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6">
        <f>IF(J23="","",K23-H23)</f>
        <v/>
      </c>
      <c r="M23" s="7">
        <f>IF(OR(J23="",I23=0,I23=""),"",L23/I23)</f>
        <v/>
      </c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6">
        <f>IF(J24="","",K24-H24)</f>
        <v/>
      </c>
      <c r="M24" s="7">
        <f>IF(OR(J24="",I24=0,I24=""),"",L24/I24)</f>
        <v/>
      </c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6">
        <f>IF(J25="","",K25-H25)</f>
        <v/>
      </c>
      <c r="M25" s="7">
        <f>IF(OR(J25="",I25=0,I25=""),"",L25/I25)</f>
        <v/>
      </c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6">
        <f>IF(J26="","",K26-H26)</f>
        <v/>
      </c>
      <c r="M26" s="7">
        <f>IF(OR(J26="",I26=0,I26=""),"",L26/I26)</f>
        <v/>
      </c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6">
        <f>IF(J27="","",K27-H27)</f>
        <v/>
      </c>
      <c r="M27" s="7">
        <f>IF(OR(J27="",I27=0,I27=""),"",L27/I27)</f>
        <v/>
      </c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6">
        <f>IF(J28="","",K28-H28)</f>
        <v/>
      </c>
      <c r="M28" s="7">
        <f>IF(OR(J28="",I28=0,I28=""),"",L28/I28)</f>
        <v/>
      </c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6">
        <f>IF(J29="","",K29-H29)</f>
        <v/>
      </c>
      <c r="M29" s="7">
        <f>IF(OR(J29="",I29=0,I29=""),"",L29/I29)</f>
        <v/>
      </c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6">
        <f>IF(J30="","",K30-H30)</f>
        <v/>
      </c>
      <c r="M30" s="7">
        <f>IF(OR(J30="",I30=0,I30=""),"",L30/I30)</f>
        <v/>
      </c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6">
        <f>IF(J31="","",K31-H31)</f>
        <v/>
      </c>
      <c r="M31" s="7">
        <f>IF(OR(J31="",I31=0,I31=""),"",L31/I31)</f>
        <v/>
      </c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6">
        <f>IF(J32="","",K32-H32)</f>
        <v/>
      </c>
      <c r="M32" s="7">
        <f>IF(OR(J32="",I32=0,I32=""),"",L32/I32)</f>
        <v/>
      </c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6">
        <f>IF(J33="","",K33-H33)</f>
        <v/>
      </c>
      <c r="M33" s="7">
        <f>IF(OR(J33="",I33=0,I33=""),"",L33/I33)</f>
        <v/>
      </c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6">
        <f>IF(J34="","",K34-H34)</f>
        <v/>
      </c>
      <c r="M34" s="7">
        <f>IF(OR(J34="",I34=0,I34=""),"",L34/I34)</f>
        <v/>
      </c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6">
        <f>IF(J35="","",K35-H35)</f>
        <v/>
      </c>
      <c r="M35" s="7">
        <f>IF(OR(J35="",I35=0,I35=""),"",L35/I35)</f>
        <v/>
      </c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6">
        <f>IF(J36="","",K36-H36)</f>
        <v/>
      </c>
      <c r="M36" s="7">
        <f>IF(OR(J36="",I36=0,I36=""),"",L36/I36)</f>
        <v/>
      </c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6">
        <f>IF(J37="","",K37-H37)</f>
        <v/>
      </c>
      <c r="M37" s="7">
        <f>IF(OR(J37="",I37=0,I37=""),"",L37/I37)</f>
        <v/>
      </c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6">
        <f>IF(J38="","",K38-H38)</f>
        <v/>
      </c>
      <c r="M38" s="7">
        <f>IF(OR(J38="",I38=0,I38=""),"",L38/I38)</f>
        <v/>
      </c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6">
        <f>IF(J39="","",K39-H39)</f>
        <v/>
      </c>
      <c r="M39" s="7">
        <f>IF(OR(J39="",I39=0,I39=""),"",L39/I39)</f>
        <v/>
      </c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6">
        <f>IF(J40="","",K40-H40)</f>
        <v/>
      </c>
      <c r="M40" s="7">
        <f>IF(OR(J40="",I40=0,I40=""),"",L40/I40)</f>
        <v/>
      </c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6">
        <f>IF(J41="","",K41-H41)</f>
        <v/>
      </c>
      <c r="M41" s="7">
        <f>IF(OR(J41="",I41=0,I41=""),"",L41/I41)</f>
        <v/>
      </c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6">
        <f>IF(J42="","",K42-H42)</f>
        <v/>
      </c>
      <c r="M42" s="7">
        <f>IF(OR(J42="",I42=0,I42=""),"",L42/I42)</f>
        <v/>
      </c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6">
        <f>IF(J43="","",K43-H43)</f>
        <v/>
      </c>
      <c r="M43" s="7">
        <f>IF(OR(J43="",I43=0,I43=""),"",L43/I43)</f>
        <v/>
      </c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6">
        <f>IF(J44="","",K44-H44)</f>
        <v/>
      </c>
      <c r="M44" s="7">
        <f>IF(OR(J44="",I44=0,I44=""),"",L44/I44)</f>
        <v/>
      </c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6">
        <f>IF(J45="","",K45-H45)</f>
        <v/>
      </c>
      <c r="M45" s="7">
        <f>IF(OR(J45="",I45=0,I45=""),"",L45/I45)</f>
        <v/>
      </c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6">
        <f>IF(J46="","",K46-H46)</f>
        <v/>
      </c>
      <c r="M46" s="7">
        <f>IF(OR(J46="",I46=0,I46=""),"",L46/I46)</f>
        <v/>
      </c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6">
        <f>IF(J47="","",K47-H47)</f>
        <v/>
      </c>
      <c r="M47" s="7">
        <f>IF(OR(J47="",I47=0,I47=""),"",L47/I47)</f>
        <v/>
      </c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6">
        <f>IF(J48="","",K48-H48)</f>
        <v/>
      </c>
      <c r="M48" s="7">
        <f>IF(OR(J48="",I48=0,I48=""),"",L48/I48)</f>
        <v/>
      </c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6">
        <f>IF(J49="","",K49-H49)</f>
        <v/>
      </c>
      <c r="M49" s="7">
        <f>IF(OR(J49="",I49=0,I49=""),"",L49/I49)</f>
        <v/>
      </c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6">
        <f>IF(J50="","",K50-H50)</f>
        <v/>
      </c>
      <c r="M50" s="7">
        <f>IF(OR(J50="",I50=0,I50=""),"",L50/I50)</f>
        <v/>
      </c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6">
        <f>IF(J51="","",K51-H51)</f>
        <v/>
      </c>
      <c r="M51" s="7">
        <f>IF(OR(J51="",I51=0,I51=""),"",L51/I51)</f>
        <v/>
      </c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6">
        <f>IF(J52="","",K52-H52)</f>
        <v/>
      </c>
      <c r="M52" s="7">
        <f>IF(OR(J52="",I52=0,I52=""),"",L52/I52)</f>
        <v/>
      </c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6">
        <f>IF(J53="","",K53-H53)</f>
        <v/>
      </c>
      <c r="M53" s="7">
        <f>IF(OR(J53="",I53=0,I53=""),"",L53/I53)</f>
        <v/>
      </c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6">
        <f>IF(J54="","",K54-H54)</f>
        <v/>
      </c>
      <c r="M54" s="7">
        <f>IF(OR(J54="",I54=0,I54=""),"",L54/I54)</f>
        <v/>
      </c>
      <c r="N54" s="5" t="n"/>
      <c r="O54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OPEN QUESTIONS / NOTES TO REFINE</t>
        </is>
      </c>
    </row>
    <row r="3">
      <c r="A3" s="2" t="inlineStr">
        <is>
          <t>Item</t>
        </is>
      </c>
      <c r="B3" s="2" t="inlineStr">
        <is>
          <t>Notes</t>
        </is>
      </c>
    </row>
    <row r="4">
      <c r="A4" s="3" t="inlineStr">
        <is>
          <t>Watchlist underlyings</t>
        </is>
      </c>
      <c r="B4" s="3" t="inlineStr">
        <is>
          <t>Which 1-2 stocks/ETFs to start with - affects realistic IV rank ranges, strike spacing, liquidity</t>
        </is>
      </c>
    </row>
    <row r="5">
      <c r="A5" s="3" t="inlineStr">
        <is>
          <t>Data source for IV rank / delta</t>
        </is>
      </c>
      <c r="B5" s="3" t="inlineStr">
        <is>
          <t>Confirm broker platform provides this directly, or build a data-pulling script</t>
        </is>
      </c>
    </row>
    <row r="6">
      <c r="A6" s="3" t="inlineStr">
        <is>
          <t>Liquidity thresholds</t>
        </is>
      </c>
      <c r="B6" s="3" t="inlineStr">
        <is>
          <t>Refine exact bid-ask spread % and OI minimums once looking at real chains</t>
        </is>
      </c>
    </row>
    <row r="7">
      <c r="A7" s="3" t="inlineStr">
        <is>
          <t>Backtest validation</t>
        </is>
      </c>
      <c r="B7" s="3" t="inlineStr">
        <is>
          <t>Run rulebook against 1-2 years of historical chain data before committing real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2026-06-15T16:14:24Z</dcterms:created>
  <dcterms:modified xmlns:dcterms="http://purl.org/dc/terms/" xmlns:xsi="http://www.w3.org/2001/XMLSchema-instance" xsi:type="dcterms:W3CDTF">2026-06-15T16:57:54Z</dcterms:modified>
</cp:coreProperties>
</file>